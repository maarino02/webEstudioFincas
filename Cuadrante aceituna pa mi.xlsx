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269C439-F7EB-44D9-878B-CC55B2D2C048}" xr6:coauthVersionLast="47" xr6:coauthVersionMax="47" xr10:uidLastSave="{00000000-0000-0000-0000-000000000000}"/>
  <bookViews>
    <workbookView xWindow="-120" yWindow="-120" windowWidth="29040" windowHeight="15720" firstSheet="9" activeTab="15" xr2:uid="{00000000-000D-0000-FFFF-FFFF00000000}"/>
  </bookViews>
  <sheets>
    <sheet name="EL CLAVIJO" sheetId="19" r:id="rId1"/>
    <sheet name="CHINCHILLA" sheetId="1" r:id="rId2"/>
    <sheet name="PRIMO RAFA" sheetId="18" r:id="rId3"/>
    <sheet name="TITO ANGEL" sheetId="17" r:id="rId4"/>
    <sheet name="LOS HUERTOS" sheetId="2" r:id="rId5"/>
    <sheet name="CASTILLO ALTO" sheetId="3" r:id="rId6"/>
    <sheet name="EL COSCOJAL" sheetId="4" r:id="rId7"/>
    <sheet name="90 OLIVOS" sheetId="6" r:id="rId8"/>
    <sheet name="EL CERRO PINEA" sheetId="5" r:id="rId9"/>
    <sheet name="EL ROSALEJO" sheetId="9" r:id="rId10"/>
    <sheet name="CIERZO" sheetId="10" r:id="rId11"/>
    <sheet name="ESCORIAL" sheetId="11" r:id="rId12"/>
    <sheet name="ENFRENTE CARRETERA" sheetId="12" r:id="rId13"/>
    <sheet name="CORTIJO ASEN" sheetId="13" r:id="rId14"/>
    <sheet name="CORTIJO MERCEDES" sheetId="14" r:id="rId15"/>
    <sheet name="CONSUEGROS" sheetId="7" r:id="rId16"/>
    <sheet name="RESULTADOS FINALES" sheetId="15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5" l="1"/>
  <c r="B19" i="15"/>
  <c r="B18" i="15"/>
  <c r="B15" i="15"/>
  <c r="B14" i="15"/>
  <c r="B13" i="15"/>
  <c r="H34" i="7"/>
  <c r="C34" i="7"/>
  <c r="G33" i="7"/>
  <c r="B3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Q3" i="7" s="1"/>
  <c r="P3" i="7"/>
  <c r="H34" i="14"/>
  <c r="C34" i="14"/>
  <c r="G33" i="14"/>
  <c r="B3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Q3" i="14" s="1"/>
  <c r="P3" i="14"/>
  <c r="H34" i="13"/>
  <c r="C34" i="13"/>
  <c r="G33" i="13"/>
  <c r="B3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Q3" i="13" s="1"/>
  <c r="C13" i="13"/>
  <c r="B13" i="13"/>
  <c r="P3" i="13"/>
  <c r="H34" i="12"/>
  <c r="C34" i="12"/>
  <c r="G33" i="12"/>
  <c r="B3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Q3" i="12" s="1"/>
  <c r="C13" i="12"/>
  <c r="B13" i="12"/>
  <c r="P3" i="12"/>
  <c r="H34" i="11"/>
  <c r="C34" i="11"/>
  <c r="G33" i="11"/>
  <c r="B3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Q3" i="11" s="1"/>
  <c r="C13" i="11"/>
  <c r="B13" i="11"/>
  <c r="P3" i="11"/>
  <c r="H34" i="10"/>
  <c r="C34" i="10"/>
  <c r="G33" i="10"/>
  <c r="B3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Q3" i="10" s="1"/>
  <c r="P3" i="10"/>
  <c r="H34" i="9"/>
  <c r="C34" i="9"/>
  <c r="G33" i="9"/>
  <c r="B3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Q3" i="9" s="1"/>
  <c r="P3" i="9"/>
  <c r="H34" i="5"/>
  <c r="C34" i="5"/>
  <c r="G33" i="5"/>
  <c r="B33" i="5"/>
  <c r="O13" i="5"/>
  <c r="N13" i="5"/>
  <c r="M13" i="5"/>
  <c r="L13" i="5"/>
  <c r="K13" i="5"/>
  <c r="J13" i="5"/>
  <c r="I13" i="5"/>
  <c r="H13" i="5"/>
  <c r="G13" i="5"/>
  <c r="F13" i="5"/>
  <c r="E13" i="5"/>
  <c r="D13" i="5"/>
  <c r="Q3" i="5" s="1"/>
  <c r="C13" i="5"/>
  <c r="B13" i="5"/>
  <c r="P3" i="5"/>
  <c r="H34" i="6"/>
  <c r="C34" i="6"/>
  <c r="G33" i="6"/>
  <c r="B3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Q3" i="6" s="1"/>
  <c r="P3" i="6"/>
  <c r="H34" i="4"/>
  <c r="C34" i="4"/>
  <c r="G33" i="4"/>
  <c r="B33" i="4"/>
  <c r="O13" i="4"/>
  <c r="N13" i="4"/>
  <c r="M13" i="4"/>
  <c r="L13" i="4"/>
  <c r="K13" i="4"/>
  <c r="Q3" i="4" s="1"/>
  <c r="J13" i="4"/>
  <c r="I13" i="4"/>
  <c r="H13" i="4"/>
  <c r="G13" i="4"/>
  <c r="F13" i="4"/>
  <c r="E13" i="4"/>
  <c r="D13" i="4"/>
  <c r="C13" i="4"/>
  <c r="B13" i="4"/>
  <c r="P3" i="4"/>
  <c r="H34" i="3"/>
  <c r="C34" i="3"/>
  <c r="G33" i="3"/>
  <c r="B33" i="3"/>
  <c r="O13" i="3"/>
  <c r="N13" i="3"/>
  <c r="M13" i="3"/>
  <c r="L13" i="3"/>
  <c r="K13" i="3"/>
  <c r="J13" i="3"/>
  <c r="I13" i="3"/>
  <c r="H13" i="3"/>
  <c r="G13" i="3"/>
  <c r="F13" i="3"/>
  <c r="E13" i="3"/>
  <c r="D13" i="3"/>
  <c r="Q3" i="3" s="1"/>
  <c r="C13" i="3"/>
  <c r="B13" i="3"/>
  <c r="P3" i="3"/>
  <c r="H34" i="2"/>
  <c r="C34" i="2"/>
  <c r="G33" i="2"/>
  <c r="B3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Q3" i="2" s="1"/>
  <c r="P3" i="2"/>
  <c r="H34" i="17"/>
  <c r="C34" i="17"/>
  <c r="G33" i="17"/>
  <c r="B3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Q3" i="17" s="1"/>
  <c r="P3" i="17"/>
  <c r="H34" i="19"/>
  <c r="C34" i="19"/>
  <c r="G33" i="19"/>
  <c r="B3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Q3" i="19" s="1"/>
  <c r="C13" i="19"/>
  <c r="B13" i="19"/>
  <c r="P3" i="19"/>
  <c r="H34" i="18"/>
  <c r="C34" i="18"/>
  <c r="G33" i="18"/>
  <c r="B3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Q3" i="18" s="1"/>
  <c r="P3" i="18"/>
  <c r="P3" i="1"/>
  <c r="B13" i="1"/>
  <c r="Q3" i="1" s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B33" i="1"/>
  <c r="G33" i="1"/>
  <c r="C34" i="1"/>
  <c r="H34" i="1"/>
</calcChain>
</file>

<file path=xl/sharedStrings.xml><?xml version="1.0" encoding="utf-8"?>
<sst xmlns="http://schemas.openxmlformats.org/spreadsheetml/2006/main" count="1712" uniqueCount="52">
  <si>
    <t>DÍA</t>
  </si>
  <si>
    <t>PAPA</t>
  </si>
  <si>
    <t>MAMA</t>
  </si>
  <si>
    <t>JULIO</t>
  </si>
  <si>
    <t>RACHID</t>
  </si>
  <si>
    <t>JAIME</t>
  </si>
  <si>
    <t>ADRAHMEN</t>
  </si>
  <si>
    <t>JAVIVI</t>
  </si>
  <si>
    <t>ANTONIO</t>
  </si>
  <si>
    <t>KILOS DIA</t>
  </si>
  <si>
    <t>RENDIMIENTO</t>
  </si>
  <si>
    <t>KILOS TOTALES</t>
  </si>
  <si>
    <t>RENDIMIENTO MEDIO</t>
  </si>
  <si>
    <t>DIAS TOTALES</t>
  </si>
  <si>
    <t>HORAS TOTALES</t>
  </si>
  <si>
    <t>CHINCHILLA</t>
  </si>
  <si>
    <t>INCIDENCIAS</t>
  </si>
  <si>
    <t>CAMPAÑA</t>
  </si>
  <si>
    <t>24/25</t>
  </si>
  <si>
    <t>ARBOL</t>
  </si>
  <si>
    <t>SUELO</t>
  </si>
  <si>
    <t>CASTILLO ALTO</t>
  </si>
  <si>
    <t>EL COSCOJAL</t>
  </si>
  <si>
    <t>90 OLIVOS</t>
  </si>
  <si>
    <t>EL CERRO PINEA</t>
  </si>
  <si>
    <t>EL ROSALEJO</t>
  </si>
  <si>
    <t>ESCORIAL</t>
  </si>
  <si>
    <t>ENFRENTE CARRETERA</t>
  </si>
  <si>
    <t>CORTIJO ASEN</t>
  </si>
  <si>
    <t>CORTIJO MERCEDES</t>
  </si>
  <si>
    <t>CONSUEGROS</t>
  </si>
  <si>
    <t>PRIMO RAFA</t>
  </si>
  <si>
    <t>TITO ÁNGEL</t>
  </si>
  <si>
    <t>MARINO</t>
  </si>
  <si>
    <t>Horas totales</t>
  </si>
  <si>
    <t>MES</t>
  </si>
  <si>
    <t>CASTILLO BAJO - LOS HUERTOS</t>
  </si>
  <si>
    <t>CIERZO</t>
  </si>
  <si>
    <t>DÍAS TOTALES NOVIEMBRE</t>
  </si>
  <si>
    <t>DÍAS TOTALES DICIEMBRE</t>
  </si>
  <si>
    <t>DÍAS TOTALES ENERO</t>
  </si>
  <si>
    <t>DÍAS TOTALES FEBRERO</t>
  </si>
  <si>
    <t>DÍAS TOTALES CAMPAÑA</t>
  </si>
  <si>
    <t>HORAS TOTALES NOVIEMBRE</t>
  </si>
  <si>
    <t>HORAS TOTALES DICIEMBRE</t>
  </si>
  <si>
    <t>HORAS TOTALES ENERO</t>
  </si>
  <si>
    <t>HORAS TOTALES FEBRERO</t>
  </si>
  <si>
    <t>HORAS TOTALES CAMPAÑA</t>
  </si>
  <si>
    <t>KILOS TOTALES OLIVO</t>
  </si>
  <si>
    <t>KILOS TOTALES SUELO</t>
  </si>
  <si>
    <t>RENDIMIENTO MEDIO OLIVO</t>
  </si>
  <si>
    <t>RENDIMIENTO MEDIO SUELO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</si>
</sst>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9" fontId="0" fillId="0" borderId="0" xfId="1" applyFont="1"/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1" applyFont="1" applyBorder="1"/>
    <xf numFmtId="0" fontId="2" fillId="0" borderId="1" xfId="0" applyFont="1" applyBorder="1"/>
    <xf numFmtId="0" fontId="2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/>
    <xf numFmtId="0" fontId="2" fillId="2" borderId="1" xfId="0" applyFont="1" applyFill="1" applyBorder="1"/>
    <xf numFmtId="9" fontId="0" fillId="0" borderId="1" xfId="1" applyFont="1" applyBorder="1" applyAlignment="1">
      <alignment horizontal="left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9" fontId="0" fillId="0" borderId="8" xfId="1" applyFont="1" applyBorder="1"/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1B8C-8626-42B7-905D-AD449DFC8A86}">
  <sheetPr codeName="Hoja1"/>
  <dimension ref="A1:R34"/>
  <sheetViews>
    <sheetView workbookViewId="0">
      <selection activeCell="I24" sqref="I24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8" ht="15.75" thickBot="1" x14ac:dyDescent="0.3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8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5" t="s">
        <v>14</v>
      </c>
      <c r="R2" s="16"/>
    </row>
    <row r="3" spans="1:18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8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8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8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8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8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8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8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8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8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8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8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R34"/>
  <sheetViews>
    <sheetView workbookViewId="0">
      <selection activeCell="S8" sqref="S8"/>
    </sheetView>
  </sheetViews>
  <sheetFormatPr baseColWidth="10" defaultColWidth="9.140625" defaultRowHeight="15" x14ac:dyDescent="0.25"/>
  <cols>
    <col min="1" max="1" width="13.7109375" bestFit="1" customWidth="1"/>
    <col min="2" max="15" width="13.7109375" customWidth="1"/>
    <col min="16" max="16" width="13.140625" bestFit="1" customWidth="1"/>
    <col min="17" max="17" width="15.140625" bestFit="1" customWidth="1"/>
  </cols>
  <sheetData>
    <row r="1" spans="1:18" ht="15.75" thickBot="1" x14ac:dyDescent="0.3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8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5" t="s">
        <v>14</v>
      </c>
      <c r="R2" s="16"/>
    </row>
    <row r="3" spans="1:18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8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8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8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8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8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8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8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8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8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8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8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  <pageSetup paperSize="9" scale="56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1C7E-1F40-4238-AACE-18FBFB2FD767}">
  <sheetPr codeName="Hoja3"/>
  <dimension ref="A1:R34"/>
  <sheetViews>
    <sheetView workbookViewId="0">
      <selection activeCell="I23" sqref="I23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8" ht="15.75" thickBot="1" x14ac:dyDescent="0.3">
      <c r="A1" s="20" t="s">
        <v>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8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5" t="s">
        <v>14</v>
      </c>
      <c r="R2" s="16"/>
    </row>
    <row r="3" spans="1:18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8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8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8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8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8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8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8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8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8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8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8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D532-EBC8-456F-A148-DABAD937A08B}">
  <sheetPr codeName="Hoja4"/>
  <dimension ref="A1:Q34"/>
  <sheetViews>
    <sheetView workbookViewId="0">
      <selection activeCell="C36" sqref="C36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7" ht="15.75" thickBot="1" x14ac:dyDescent="0.3">
      <c r="A1" s="20" t="s">
        <v>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7" t="s">
        <v>14</v>
      </c>
    </row>
    <row r="3" spans="1:17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7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7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7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7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7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7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7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7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7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7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7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9524-C214-48AE-AFE4-94615ACDE8A2}">
  <sheetPr codeName="Hoja5"/>
  <dimension ref="A1:Q34"/>
  <sheetViews>
    <sheetView workbookViewId="0">
      <selection activeCell="I24" sqref="I24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7" ht="15.75" thickBot="1" x14ac:dyDescent="0.3">
      <c r="A1" s="20" t="s">
        <v>36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7" t="s">
        <v>14</v>
      </c>
    </row>
    <row r="3" spans="1:17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7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7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7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7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7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7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7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7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7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7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7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8F28-1CB5-4DA0-BDC3-D3899EBD6773}">
  <sheetPr codeName="Hoja6"/>
  <dimension ref="A1:Q34"/>
  <sheetViews>
    <sheetView workbookViewId="0">
      <selection activeCell="F36" sqref="F36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7" ht="15.75" thickBot="1" x14ac:dyDescent="0.3">
      <c r="A1" s="20" t="s">
        <v>21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7" t="s">
        <v>14</v>
      </c>
    </row>
    <row r="3" spans="1:17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7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7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7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7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7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7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7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7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7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7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7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BEB5-BBDC-403B-B764-748CCDFAFA27}">
  <sheetPr codeName="Hoja7"/>
  <dimension ref="A1:Q34"/>
  <sheetViews>
    <sheetView workbookViewId="0">
      <selection activeCell="H36" sqref="H36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7" ht="15.75" thickBot="1" x14ac:dyDescent="0.3">
      <c r="A1" s="20" t="s">
        <v>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7" t="s">
        <v>14</v>
      </c>
    </row>
    <row r="3" spans="1:17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7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7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7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7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7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7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7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7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7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7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7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FE4E-EAAB-4E94-B7D5-1654D2B61B3D}">
  <sheetPr codeName="Hoja8"/>
  <dimension ref="A1:Q34"/>
  <sheetViews>
    <sheetView workbookViewId="0">
      <selection activeCell="I37" sqref="I37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7" ht="15.75" thickBot="1" x14ac:dyDescent="0.3">
      <c r="A1" s="20" t="s">
        <v>23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7" t="s">
        <v>14</v>
      </c>
    </row>
    <row r="3" spans="1:17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7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7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7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7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7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7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7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7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7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7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7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D365-FE15-4C94-9941-5D67E2C9EB6C}">
  <sheetPr codeName="Hoja9"/>
  <dimension ref="A1:Q34"/>
  <sheetViews>
    <sheetView workbookViewId="0">
      <selection activeCell="J36" sqref="J36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7" ht="15.75" thickBot="1" x14ac:dyDescent="0.3">
      <c r="A1" s="20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7" t="s">
        <v>14</v>
      </c>
    </row>
    <row r="3" spans="1:17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7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7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7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7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7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7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7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7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7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7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7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D87A-5C40-4272-B6B8-0379FFDDA9C1}">
  <sheetPr codeName="Hoja10"/>
  <dimension ref="A1:Q34"/>
  <sheetViews>
    <sheetView workbookViewId="0">
      <selection activeCell="J35" sqref="J35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7" ht="15.75" thickBot="1" x14ac:dyDescent="0.3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7" t="s">
        <v>14</v>
      </c>
    </row>
    <row r="3" spans="1:17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7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7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7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7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7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7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7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7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7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7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7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1C02-0C1E-415F-ADDC-C86542A60919}">
  <sheetPr codeName="Hoja11"/>
  <dimension ref="A1:Q34"/>
  <sheetViews>
    <sheetView workbookViewId="0">
      <selection activeCell="K37" sqref="K37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7" ht="15.75" thickBot="1" x14ac:dyDescent="0.3">
      <c r="A1" s="20" t="s">
        <v>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7" t="s">
        <v>14</v>
      </c>
    </row>
    <row r="3" spans="1:17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7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7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7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7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7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7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7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7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7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7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7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A2FB-DEFA-46EE-A250-36B2C12F4178}">
  <sheetPr codeName="Hoja12"/>
  <dimension ref="A1:Q34"/>
  <sheetViews>
    <sheetView workbookViewId="0">
      <selection activeCell="K36" sqref="K36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7" ht="15.75" thickBot="1" x14ac:dyDescent="0.3">
      <c r="A1" s="20" t="s">
        <v>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7" t="s">
        <v>14</v>
      </c>
    </row>
    <row r="3" spans="1:17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7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7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7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7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7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7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7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7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7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7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7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59CB-1377-48FF-B401-B204884F0A4E}">
  <sheetPr codeName="Hoja13"/>
  <dimension ref="A1:Q35"/>
  <sheetViews>
    <sheetView workbookViewId="0">
      <selection activeCell="E36" sqref="E36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7" ht="15.75" thickBot="1" x14ac:dyDescent="0.3">
      <c r="A1" s="20" t="s">
        <v>27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7" t="s">
        <v>14</v>
      </c>
    </row>
    <row r="3" spans="1:17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7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7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7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7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7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7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7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7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7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7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7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  <row r="35" spans="1:8" x14ac:dyDescent="0.25">
      <c r="A35" s="15"/>
      <c r="B35" s="18"/>
      <c r="C35" s="19"/>
      <c r="F35" s="18"/>
      <c r="G35" s="18"/>
      <c r="H35" s="19"/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024E-9481-4B69-9C7F-65A78F23F941}">
  <sheetPr codeName="Hoja14"/>
  <dimension ref="A1:Q34"/>
  <sheetViews>
    <sheetView workbookViewId="0">
      <selection activeCell="F36" sqref="F36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7" ht="15.75" thickBot="1" x14ac:dyDescent="0.3">
      <c r="A1" s="20" t="s">
        <v>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7" t="s">
        <v>14</v>
      </c>
    </row>
    <row r="3" spans="1:17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7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7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7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7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7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7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7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7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7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7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7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3BEC-A161-4735-8DDC-B3C9319D54A1}">
  <sheetPr codeName="Hoja15"/>
  <dimension ref="A1:Q34"/>
  <sheetViews>
    <sheetView workbookViewId="0">
      <selection activeCell="H36" sqref="H36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7" ht="15.75" thickBo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7" t="s">
        <v>14</v>
      </c>
    </row>
    <row r="3" spans="1:17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7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7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7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7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7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7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7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7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7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7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7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D317-AB17-4719-83A3-F058F01EAE39}">
  <sheetPr codeName="Hoja16"/>
  <dimension ref="A1:Q34"/>
  <sheetViews>
    <sheetView tabSelected="1" workbookViewId="0">
      <selection activeCell="A18" sqref="A18"/>
    </sheetView>
  </sheetViews>
  <sheetFormatPr baseColWidth="10" defaultRowHeight="15" x14ac:dyDescent="0.25"/>
  <cols>
    <col min="1" max="16" width="13.7109375" customWidth="1"/>
    <col min="17" max="17" width="15.140625" bestFit="1" customWidth="1"/>
  </cols>
  <sheetData>
    <row r="1" spans="1:17" ht="15.75" thickBot="1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5.75" thickTop="1" x14ac:dyDescent="0.25">
      <c r="A2" s="11" t="s">
        <v>17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12" t="s">
        <v>13</v>
      </c>
      <c r="Q2" s="17" t="s">
        <v>14</v>
      </c>
    </row>
    <row r="3" spans="1:17" x14ac:dyDescent="0.25">
      <c r="A3" s="6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4">
        <f xml:space="preserve"> COUNT(B4:O4)</f>
        <v>0</v>
      </c>
      <c r="Q3" s="3">
        <f>SUM(B13:O13)</f>
        <v>0</v>
      </c>
    </row>
    <row r="4" spans="1:17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5"/>
      <c r="Q4" s="18"/>
    </row>
    <row r="5" spans="1:17" x14ac:dyDescent="0.2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6"/>
    </row>
    <row r="6" spans="1:17" x14ac:dyDescent="0.25">
      <c r="A6" s="5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6"/>
    </row>
    <row r="7" spans="1:17" x14ac:dyDescent="0.25">
      <c r="A7" s="5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6"/>
    </row>
    <row r="8" spans="1:17" x14ac:dyDescent="0.25">
      <c r="A8" s="5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6"/>
    </row>
    <row r="9" spans="1:17" x14ac:dyDescent="0.25">
      <c r="A9" s="5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"/>
    </row>
    <row r="10" spans="1:17" x14ac:dyDescent="0.25">
      <c r="A10" s="5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"/>
    </row>
    <row r="11" spans="1:17" x14ac:dyDescent="0.25">
      <c r="A11" s="5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6"/>
    </row>
    <row r="12" spans="1:17" x14ac:dyDescent="0.25">
      <c r="A12" s="5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</row>
    <row r="13" spans="1:17" x14ac:dyDescent="0.25">
      <c r="A13" s="13" t="s">
        <v>34</v>
      </c>
      <c r="B13" s="3">
        <f t="shared" ref="B13:O13" si="0" xml:space="preserve"> SUM(B4:B12)</f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16"/>
    </row>
    <row r="15" spans="1:17" x14ac:dyDescent="0.25">
      <c r="A15" s="10" t="s">
        <v>16</v>
      </c>
    </row>
    <row r="17" spans="1:9" x14ac:dyDescent="0.25">
      <c r="A17" s="9" t="s">
        <v>19</v>
      </c>
      <c r="F17" s="9" t="s">
        <v>20</v>
      </c>
    </row>
    <row r="18" spans="1:9" x14ac:dyDescent="0.25">
      <c r="A18" s="3" t="s">
        <v>9</v>
      </c>
      <c r="B18" s="3"/>
      <c r="C18" s="7" t="s">
        <v>10</v>
      </c>
      <c r="D18" s="14"/>
      <c r="E18" s="2"/>
      <c r="F18" s="3" t="s">
        <v>9</v>
      </c>
      <c r="G18" s="3"/>
      <c r="H18" s="7" t="s">
        <v>10</v>
      </c>
      <c r="I18" s="14"/>
    </row>
    <row r="19" spans="1:9" x14ac:dyDescent="0.25">
      <c r="A19" s="3" t="s">
        <v>9</v>
      </c>
      <c r="B19" s="3"/>
      <c r="C19" s="7" t="s">
        <v>10</v>
      </c>
      <c r="D19" s="14"/>
      <c r="E19" s="2"/>
      <c r="F19" s="3" t="s">
        <v>9</v>
      </c>
      <c r="G19" s="3"/>
      <c r="H19" s="7" t="s">
        <v>10</v>
      </c>
      <c r="I19" s="14"/>
    </row>
    <row r="20" spans="1:9" x14ac:dyDescent="0.25">
      <c r="A20" s="3" t="s">
        <v>9</v>
      </c>
      <c r="B20" s="3"/>
      <c r="C20" s="7" t="s">
        <v>10</v>
      </c>
      <c r="D20" s="14"/>
      <c r="E20" s="2"/>
      <c r="F20" s="3" t="s">
        <v>9</v>
      </c>
      <c r="G20" s="3"/>
      <c r="H20" s="7" t="s">
        <v>10</v>
      </c>
      <c r="I20" s="14"/>
    </row>
    <row r="21" spans="1:9" x14ac:dyDescent="0.25">
      <c r="A21" s="3" t="s">
        <v>9</v>
      </c>
      <c r="B21" s="3"/>
      <c r="C21" s="7" t="s">
        <v>10</v>
      </c>
      <c r="D21" s="14"/>
      <c r="E21" s="2"/>
      <c r="F21" s="3" t="s">
        <v>9</v>
      </c>
      <c r="G21" s="3"/>
      <c r="H21" s="7" t="s">
        <v>10</v>
      </c>
      <c r="I21" s="14"/>
    </row>
    <row r="22" spans="1:9" x14ac:dyDescent="0.25">
      <c r="A22" s="3" t="s">
        <v>9</v>
      </c>
      <c r="B22" s="3"/>
      <c r="C22" s="7" t="s">
        <v>10</v>
      </c>
      <c r="D22" s="14"/>
      <c r="E22" s="2"/>
      <c r="F22" s="3" t="s">
        <v>9</v>
      </c>
      <c r="G22" s="3"/>
      <c r="H22" s="7" t="s">
        <v>10</v>
      </c>
      <c r="I22" s="14"/>
    </row>
    <row r="23" spans="1:9" x14ac:dyDescent="0.25">
      <c r="A23" s="3" t="s">
        <v>9</v>
      </c>
      <c r="B23" s="3"/>
      <c r="C23" s="7" t="s">
        <v>10</v>
      </c>
      <c r="D23" s="14"/>
      <c r="E23" s="2"/>
      <c r="F23" s="3" t="s">
        <v>9</v>
      </c>
      <c r="G23" s="3"/>
      <c r="H23" s="7" t="s">
        <v>10</v>
      </c>
      <c r="I23" s="14"/>
    </row>
    <row r="24" spans="1:9" x14ac:dyDescent="0.25">
      <c r="A24" s="3" t="s">
        <v>9</v>
      </c>
      <c r="B24" s="3"/>
      <c r="C24" s="7" t="s">
        <v>10</v>
      </c>
      <c r="D24" s="14"/>
      <c r="E24" s="2"/>
      <c r="F24" s="3" t="s">
        <v>9</v>
      </c>
      <c r="G24" s="3"/>
      <c r="H24" s="7" t="s">
        <v>10</v>
      </c>
      <c r="I24" s="14"/>
    </row>
    <row r="25" spans="1:9" x14ac:dyDescent="0.25">
      <c r="A25" s="3" t="s">
        <v>9</v>
      </c>
      <c r="B25" s="3"/>
      <c r="C25" s="7" t="s">
        <v>10</v>
      </c>
      <c r="D25" s="14"/>
      <c r="E25" s="2"/>
      <c r="F25" s="3" t="s">
        <v>9</v>
      </c>
      <c r="G25" s="3"/>
      <c r="H25" s="7" t="s">
        <v>10</v>
      </c>
      <c r="I25" s="14"/>
    </row>
    <row r="26" spans="1:9" x14ac:dyDescent="0.25">
      <c r="A26" s="3" t="s">
        <v>9</v>
      </c>
      <c r="B26" s="3"/>
      <c r="C26" s="7" t="s">
        <v>10</v>
      </c>
      <c r="D26" s="14"/>
      <c r="E26" s="2"/>
      <c r="F26" s="3" t="s">
        <v>9</v>
      </c>
      <c r="G26" s="3"/>
      <c r="H26" s="7" t="s">
        <v>10</v>
      </c>
      <c r="I26" s="14"/>
    </row>
    <row r="27" spans="1:9" x14ac:dyDescent="0.25">
      <c r="A27" s="3" t="s">
        <v>9</v>
      </c>
      <c r="B27" s="3"/>
      <c r="C27" s="7" t="s">
        <v>10</v>
      </c>
      <c r="D27" s="14"/>
      <c r="E27" s="2"/>
      <c r="F27" s="3" t="s">
        <v>9</v>
      </c>
      <c r="G27" s="3"/>
      <c r="H27" s="7" t="s">
        <v>10</v>
      </c>
      <c r="I27" s="14"/>
    </row>
    <row r="28" spans="1:9" x14ac:dyDescent="0.25">
      <c r="A28" s="3" t="s">
        <v>9</v>
      </c>
      <c r="B28" s="3"/>
      <c r="C28" s="7" t="s">
        <v>10</v>
      </c>
      <c r="D28" s="14"/>
      <c r="E28" s="2"/>
      <c r="F28" s="3" t="s">
        <v>9</v>
      </c>
      <c r="G28" s="3"/>
      <c r="H28" s="7" t="s">
        <v>10</v>
      </c>
      <c r="I28" s="14"/>
    </row>
    <row r="29" spans="1:9" x14ac:dyDescent="0.25">
      <c r="A29" s="3" t="s">
        <v>9</v>
      </c>
      <c r="B29" s="3"/>
      <c r="C29" s="7" t="s">
        <v>10</v>
      </c>
      <c r="D29" s="14"/>
      <c r="E29" s="2"/>
      <c r="F29" s="3" t="s">
        <v>9</v>
      </c>
      <c r="G29" s="3"/>
      <c r="H29" s="7" t="s">
        <v>10</v>
      </c>
      <c r="I29" s="14"/>
    </row>
    <row r="30" spans="1:9" x14ac:dyDescent="0.25">
      <c r="A30" s="3" t="s">
        <v>9</v>
      </c>
      <c r="B30" s="3"/>
      <c r="C30" s="7" t="s">
        <v>10</v>
      </c>
      <c r="D30" s="14"/>
      <c r="E30" s="2"/>
      <c r="F30" s="3" t="s">
        <v>9</v>
      </c>
      <c r="G30" s="3"/>
      <c r="H30" s="7" t="s">
        <v>10</v>
      </c>
      <c r="I30" s="14"/>
    </row>
    <row r="31" spans="1:9" x14ac:dyDescent="0.25">
      <c r="A31" s="3" t="s">
        <v>9</v>
      </c>
      <c r="B31" s="3"/>
      <c r="C31" s="7" t="s">
        <v>10</v>
      </c>
      <c r="D31" s="14"/>
      <c r="E31" s="2"/>
      <c r="F31" s="3" t="s">
        <v>9</v>
      </c>
      <c r="G31" s="3"/>
      <c r="H31" s="7" t="s">
        <v>10</v>
      </c>
      <c r="I31" s="14"/>
    </row>
    <row r="32" spans="1:9" x14ac:dyDescent="0.25">
      <c r="B32" s="1"/>
      <c r="C32" s="1"/>
      <c r="G32" s="1"/>
      <c r="H32" s="1"/>
    </row>
    <row r="33" spans="1:8" x14ac:dyDescent="0.25">
      <c r="A33" s="3" t="s">
        <v>11</v>
      </c>
      <c r="B33" s="7">
        <f xml:space="preserve"> SUM(B18:B31)</f>
        <v>0</v>
      </c>
      <c r="C33" s="1"/>
      <c r="F33" s="3" t="s">
        <v>11</v>
      </c>
      <c r="G33" s="7">
        <f>SUM(G18:G31)</f>
        <v>0</v>
      </c>
      <c r="H33" s="1"/>
    </row>
    <row r="34" spans="1:8" x14ac:dyDescent="0.25">
      <c r="A34" s="3" t="s">
        <v>12</v>
      </c>
      <c r="B34" s="3"/>
      <c r="C34" s="8" t="e">
        <f>HARMEAN(D18:D31)</f>
        <v>#N/A</v>
      </c>
      <c r="F34" s="3" t="s">
        <v>12</v>
      </c>
      <c r="G34" s="3"/>
      <c r="H34" s="8" t="e">
        <f>HARMEAN(I18:I31)</f>
        <v>#N/A</v>
      </c>
    </row>
  </sheetData>
  <mergeCells count="1">
    <mergeCell ref="A1:Q1"/>
  </mergeCells>
  <pageMargins left="0.7" right="0.7" top="0.75" bottom="0.75" header="0.3" footer="0.3"/>
  <pageSetup paperSize="9" orientation="landscape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5E96-29AE-48F1-8CDE-B6335DCE10DB}">
  <sheetPr codeName="Hoja17"/>
  <dimension ref="A1:B20"/>
  <sheetViews>
    <sheetView workbookViewId="0">
      <selection activeCell="B21" sqref="B21"/>
    </sheetView>
  </sheetViews>
  <sheetFormatPr baseColWidth="10" defaultRowHeight="15" x14ac:dyDescent="0.25"/>
  <cols>
    <col min="1" max="1" width="26.7109375" bestFit="1" customWidth="1"/>
  </cols>
  <sheetData>
    <row r="1" spans="1:2" x14ac:dyDescent="0.25">
      <c r="A1" s="5" t="s">
        <v>38</v>
      </c>
      <c r="B1" s="3"/>
    </row>
    <row r="2" spans="1:2" x14ac:dyDescent="0.25">
      <c r="A2" s="5" t="s">
        <v>39</v>
      </c>
      <c r="B2" s="3"/>
    </row>
    <row r="3" spans="1:2" x14ac:dyDescent="0.25">
      <c r="A3" s="5" t="s">
        <v>40</v>
      </c>
      <c r="B3" s="3"/>
    </row>
    <row r="4" spans="1:2" x14ac:dyDescent="0.25">
      <c r="A4" s="5" t="s">
        <v>41</v>
      </c>
      <c r="B4" s="3"/>
    </row>
    <row r="5" spans="1:2" x14ac:dyDescent="0.25">
      <c r="A5" s="5" t="s">
        <v>42</v>
      </c>
      <c r="B5" s="3"/>
    </row>
    <row r="7" spans="1:2" x14ac:dyDescent="0.25">
      <c r="A7" s="5" t="s">
        <v>43</v>
      </c>
      <c r="B7" s="3"/>
    </row>
    <row r="8" spans="1:2" x14ac:dyDescent="0.25">
      <c r="A8" s="5" t="s">
        <v>44</v>
      </c>
      <c r="B8" s="3"/>
    </row>
    <row r="9" spans="1:2" x14ac:dyDescent="0.25">
      <c r="A9" s="5" t="s">
        <v>45</v>
      </c>
      <c r="B9" s="3"/>
    </row>
    <row r="10" spans="1:2" x14ac:dyDescent="0.25">
      <c r="A10" s="5" t="s">
        <v>46</v>
      </c>
      <c r="B10" s="3"/>
    </row>
    <row r="11" spans="1:2" x14ac:dyDescent="0.25">
      <c r="A11" s="5" t="s">
        <v>47</v>
      </c>
      <c r="B11" s="3"/>
    </row>
    <row r="13" spans="1:2" x14ac:dyDescent="0.25">
      <c r="A13" s="5" t="s">
        <v>11</v>
      </c>
      <c r="B13" s="3">
        <f>SUM('EL CLAVIJO'!B33,CHINCHILLA!G33,CHINCHILLA!B33,CHINCHILLA!G33,'PRIMO RAFA'!B33,'PRIMO RAFA'!G33,'TITO ANGEL'!B33,'TITO ANGEL'!G33,'LOS HUERTOS'!B33,'LOS HUERTOS'!G33,'CASTILLO ALTO'!B33,'CASTILLO ALTO'!G33,'EL COSCOJAL'!B33,'EL COSCOJAL'!G33,'90 OLIVOS'!B33,'90 OLIVOS'!G33,'EL CERRO PINEA'!B33,'EL CERRO PINEA'!G33,'EL ROSALEJO'!B33,'EL ROSALEJO'!G33,CIERZO!B33,CIERZO!G33,ESCORIAL!B33,ESCORIAL!G33,'ENFRENTE CARRETERA'!B33,'ENFRENTE CARRETERA'!G33,'CORTIJO ASEN'!B33,'CORTIJO ASEN'!G33,'CORTIJO MERCEDES'!B33,'CORTIJO MERCEDES'!G33,CONSUEGROS!B33,CONSUEGROS!G33)</f>
        <v>0</v>
      </c>
    </row>
    <row r="14" spans="1:2" x14ac:dyDescent="0.25">
      <c r="A14" s="5" t="s">
        <v>48</v>
      </c>
      <c r="B14" s="3">
        <f>SUM('EL CLAVIJO'!B33,CHINCHILLA!B33,'PRIMO RAFA'!B33,'TITO ANGEL'!B33,'LOS HUERTOS'!B33,'CASTILLO ALTO'!B33,'EL COSCOJAL'!B33,'90 OLIVOS'!B33,'EL CERRO PINEA'!B33,'EL ROSALEJO'!B33,CIERZO!B33,ESCORIAL!B33,'ENFRENTE CARRETERA'!B33,'CORTIJO ASEN'!B33,'CORTIJO MERCEDES'!B33,CONSUEGROS!B33)</f>
        <v>0</v>
      </c>
    </row>
    <row r="15" spans="1:2" x14ac:dyDescent="0.25">
      <c r="A15" s="5" t="s">
        <v>49</v>
      </c>
      <c r="B15" s="3">
        <f>SUM('EL CLAVIJO'!G33,CHINCHILLA!G33,'PRIMO RAFA'!G33,'TITO ANGEL'!G33,'LOS HUERTOS'!G33,'CASTILLO ALTO'!G33,'EL COSCOJAL'!G33,'90 OLIVOS'!G33,'EL CERRO PINEA'!G33,'EL ROSALEJO'!G33,CIERZO!G33,ESCORIAL!G33,'ENFRENTE CARRETERA'!G33,'CORTIJO ASEN'!G33,'CORTIJO MERCEDES'!G33,CONSUEGROS!G33)</f>
        <v>0</v>
      </c>
    </row>
    <row r="18" spans="1:2" x14ac:dyDescent="0.25">
      <c r="A18" s="5" t="s">
        <v>12</v>
      </c>
      <c r="B18" s="3" t="e">
        <f>HARMEAN('EL CLAVIJO'!C34,'EL CLAVIJO'!H34,CHINCHILLA!C34,CHINCHILLA!H34,'PRIMO RAFA'!C34,'PRIMO RAFA'!H34,'TITO ANGEL'!C34,'TITO ANGEL'!H34,'LOS HUERTOS'!C34,'LOS HUERTOS'!H34,'CASTILLO ALTO'!C34,'CASTILLO ALTO'!H34,'EL COSCOJAL'!C34,'EL COSCOJAL'!H34,'90 OLIVOS'!C34,'90 OLIVOS'!H34,'EL CERRO PINEA'!C34,'EL CERRO PINEA'!H34,'EL ROSALEJO'!C34,'EL ROSALEJO'!H34,CIERZO!C34,CIERZO!H34,ESCORIAL!C34,ESCORIAL!H34,'ENFRENTE CARRETERA'!C34,'ENFRENTE CARRETERA'!H34,'CORTIJO ASEN'!C34,'CORTIJO ASEN'!H34,'CORTIJO MERCEDES'!C34,'CORTIJO MERCEDES'!H34,CONSUEGROS!C34,CONSUEGROS!H34)</f>
        <v>#N/A</v>
      </c>
    </row>
    <row r="19" spans="1:2" x14ac:dyDescent="0.25">
      <c r="A19" s="5" t="s">
        <v>50</v>
      </c>
      <c r="B19" s="3" t="e">
        <f>HARMEAN('EL CLAVIJO'!C34,CHINCHILLA!C34,'PRIMO RAFA'!C34,'TITO ANGEL'!C34,'LOS HUERTOS'!C34,'CASTILLO ALTO'!C34,'EL COSCOJAL'!C34,'90 OLIVOS'!C34,'EL CERRO PINEA'!C34,'EL ROSALEJO'!C34,CIERZO!C34,ESCORIAL!C34,'ENFRENTE CARRETERA'!C34,'CORTIJO ASEN'!C34,'CORTIJO MERCEDES'!C34,CONSUEGROS!C34,)</f>
        <v>#N/A</v>
      </c>
    </row>
    <row r="20" spans="1:2" x14ac:dyDescent="0.25">
      <c r="A20" s="5" t="s">
        <v>51</v>
      </c>
      <c r="B20" s="3" t="e">
        <f>HARMEAN('EL CLAVIJO'!H34,CHINCHILLA!H34,'PRIMO RAFA'!H34,'TITO ANGEL'!H34,'LOS HUERTOS'!H34,'CASTILLO ALTO'!H34,'EL COSCOJAL'!H34,'90 OLIVOS'!H34,'EL CERRO PINEA'!H34,'EL ROSALEJO'!H34,CIERZO!H34,ESCORIAL!H34,'ENFRENTE CARRETERA'!H34,'CORTIJO ASEN'!H34,'CORTIJO MERCEDES'!H34,CONSUEGROS!H34,)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EL CLAVIJO</vt:lpstr>
      <vt:lpstr>CHINCHILLA</vt:lpstr>
      <vt:lpstr>PRIMO RAFA</vt:lpstr>
      <vt:lpstr>TITO ANGEL</vt:lpstr>
      <vt:lpstr>LOS HUERTOS</vt:lpstr>
      <vt:lpstr>CASTILLO ALTO</vt:lpstr>
      <vt:lpstr>EL COSCOJAL</vt:lpstr>
      <vt:lpstr>90 OLIVOS</vt:lpstr>
      <vt:lpstr>EL CERRO PINEA</vt:lpstr>
      <vt:lpstr>EL ROSALEJO</vt:lpstr>
      <vt:lpstr>CIERZO</vt:lpstr>
      <vt:lpstr>ESCORIAL</vt:lpstr>
      <vt:lpstr>ENFRENTE CARRETERA</vt:lpstr>
      <vt:lpstr>CORTIJO ASEN</vt:lpstr>
      <vt:lpstr>CORTIJO MERCEDES</vt:lpstr>
      <vt:lpstr>CONSUEGROS</vt:lpstr>
      <vt:lpstr>RESULTADOS FINALES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Marino Ramírez Pulido</dc:creator>
  <cp:lastModifiedBy>MARINO RAMIREZ PULIDO</cp:lastModifiedBy>
  <cp:lastPrinted>2024-10-16T18:14:36Z</cp:lastPrinted>
  <dcterms:created xsi:type="dcterms:W3CDTF">2015-06-05T18:19:34Z</dcterms:created>
  <dcterms:modified xsi:type="dcterms:W3CDTF">2024-10-23T15:39:43Z</dcterms:modified>
</cp:coreProperties>
</file>